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OneDrive\Documenten\GitHub\UBCproject\"/>
    </mc:Choice>
  </mc:AlternateContent>
  <xr:revisionPtr revIDLastSave="0" documentId="13_ncr:1_{405249BC-EE7B-42BA-BEE8-D5F43A2C0983}" xr6:coauthVersionLast="47" xr6:coauthVersionMax="47" xr10:uidLastSave="{00000000-0000-0000-0000-000000000000}"/>
  <bookViews>
    <workbookView xWindow="-28920" yWindow="-120" windowWidth="29040" windowHeight="15720" xr2:uid="{2F426ADF-9D82-4D96-832D-7B7DAD33DA5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C11" i="1"/>
  <c r="C10" i="1"/>
  <c r="L50" i="1"/>
  <c r="K50" i="1"/>
  <c r="M49" i="1"/>
  <c r="E5" i="1" a="1"/>
  <c r="E5" i="1" s="1"/>
  <c r="E4" i="1" a="1"/>
  <c r="E4" i="1" s="1"/>
  <c r="L25" i="1"/>
  <c r="K25" i="1"/>
  <c r="L49" i="1"/>
  <c r="K49" i="1"/>
  <c r="O48" i="1"/>
  <c r="O47" i="1"/>
  <c r="O46" i="1"/>
  <c r="L42" i="1"/>
  <c r="K42" i="1"/>
  <c r="M41" i="1"/>
  <c r="L41" i="1"/>
  <c r="K41" i="1"/>
  <c r="O40" i="1"/>
  <c r="O39" i="1"/>
  <c r="O38" i="1"/>
  <c r="L34" i="1"/>
  <c r="K34" i="1"/>
  <c r="M33" i="1"/>
  <c r="L33" i="1"/>
  <c r="K33" i="1"/>
  <c r="O32" i="1"/>
  <c r="O31" i="1"/>
  <c r="O30" i="1"/>
  <c r="C6" i="1"/>
  <c r="D6" i="1"/>
  <c r="B6" i="1"/>
  <c r="B12" i="1"/>
  <c r="B11" i="1"/>
  <c r="B10" i="1"/>
  <c r="O24" i="1"/>
  <c r="O16" i="1"/>
  <c r="O8" i="1"/>
  <c r="O5" i="1"/>
  <c r="O6" i="1"/>
  <c r="O7" i="1"/>
  <c r="O21" i="1"/>
  <c r="O22" i="1"/>
  <c r="O23" i="1"/>
  <c r="O14" i="1"/>
  <c r="O15" i="1"/>
  <c r="O13" i="1"/>
  <c r="L24" i="1"/>
  <c r="M24" i="1"/>
  <c r="K24" i="1"/>
  <c r="C5" i="1"/>
  <c r="D5" i="1"/>
  <c r="B5" i="1"/>
  <c r="L17" i="1"/>
  <c r="K17" i="1"/>
  <c r="L16" i="1"/>
  <c r="M16" i="1"/>
  <c r="K16" i="1"/>
  <c r="L9" i="1"/>
  <c r="C4" i="1"/>
  <c r="D4" i="1"/>
  <c r="B4" i="1"/>
  <c r="L8" i="1"/>
  <c r="M8" i="1"/>
  <c r="K8" i="1"/>
  <c r="E6" i="1" l="1" a="1"/>
  <c r="E6" i="1" s="1"/>
  <c r="O49" i="1"/>
  <c r="C12" i="1" s="1"/>
  <c r="O41" i="1"/>
  <c r="O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<sst xmlns="http://schemas.openxmlformats.org/spreadsheetml/2006/main" count="73" uniqueCount="18">
  <si>
    <t>Pems08</t>
  </si>
  <si>
    <t>PriSTI</t>
  </si>
  <si>
    <t>PrisTI_TL_50</t>
  </si>
  <si>
    <t>PrisTI_TL_75</t>
  </si>
  <si>
    <t>RMSE</t>
  </si>
  <si>
    <t>MAE</t>
  </si>
  <si>
    <t>CRPS</t>
  </si>
  <si>
    <t>Solar</t>
  </si>
  <si>
    <t>Block-missing (9.2%)</t>
  </si>
  <si>
    <t>Full training</t>
  </si>
  <si>
    <t>run</t>
  </si>
  <si>
    <t>time</t>
  </si>
  <si>
    <t>average</t>
  </si>
  <si>
    <t>TL_50</t>
  </si>
  <si>
    <t>TL_75</t>
  </si>
  <si>
    <t>Stdev</t>
  </si>
  <si>
    <t>min</t>
  </si>
  <si>
    <t>Time(Min)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</si>
</sst>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00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64" fontId="0" fillId="0" borderId="4" xfId="0" applyNumberFormat="1" applyBorder="1"/>
    <xf numFmtId="164" fontId="0" fillId="0" borderId="6" xfId="0" applyNumberFormat="1" applyBorder="1"/>
    <xf numFmtId="2" fontId="0" fillId="0" borderId="4" xfId="0" applyNumberFormat="1" applyBorder="1"/>
    <xf numFmtId="2" fontId="1" fillId="0" borderId="4" xfId="0" applyNumberFormat="1" applyFont="1" applyBorder="1"/>
    <xf numFmtId="2" fontId="0" fillId="0" borderId="6" xfId="0" applyNumberFormat="1" applyBorder="1"/>
    <xf numFmtId="2" fontId="1" fillId="0" borderId="0" xfId="0" applyNumberFormat="1" applyFont="1"/>
    <xf numFmtId="164" fontId="1" fillId="0" borderId="5" xfId="0" applyNumberFormat="1" applyFont="1" applyBorder="1"/>
    <xf numFmtId="164" fontId="0" fillId="0" borderId="0" xfId="0" applyNumberFormat="1"/>
    <xf numFmtId="164" fontId="0" fillId="0" borderId="5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5" fontId="0" fillId="0" borderId="0" xfId="0" applyNumberFormat="1"/>
    <xf numFmtId="16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Total</a:t>
            </a:r>
            <a:r>
              <a:rPr lang="nl-NL" baseline="0"/>
              <a:t> </a:t>
            </a:r>
            <a:r>
              <a:rPr lang="nl-NL"/>
              <a:t>Training and Inference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Blad1!$A$10</c:f>
              <c:strCache>
                <c:ptCount val="1"/>
                <c:pt idx="0">
                  <c:v>PriSTI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Blad1!$B$9:$C$9</c15:sqref>
                  </c15:fullRef>
                </c:ext>
              </c:extLst>
              <c:f>Blad1!$C$9</c:f>
              <c:strCache>
                <c:ptCount val="1"/>
                <c:pt idx="0">
                  <c:v>Solar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Blad1!$B$10:$C$10</c15:sqref>
                  </c15:fullRef>
                </c:ext>
              </c:extLst>
              <c:f>Blad1!$C$10</c:f>
              <c:numCache>
                <c:formatCode>0</c:formatCode>
                <c:ptCount val="1"/>
                <c:pt idx="0">
                  <c:v>268.10000000000002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5-43F1-877B-F852F1BEEC96}"/>
            </c:ext>
          </c:extLst>
        </c:ser>
        <c:ser>
          <c:idx val="1"/>
          <c:order val="1"/>
          <c:tx>
            <c:strRef>
              <c:f>Blad1!$A$11</c:f>
              <c:strCache>
                <c:ptCount val="1"/>
                <c:pt idx="0">
                  <c:v>PrisTI_TL_50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Blad1!$B$9:$C$9</c15:sqref>
                  </c15:fullRef>
                </c:ext>
              </c:extLst>
              <c:f>Blad1!$C$9</c:f>
              <c:strCache>
                <c:ptCount val="1"/>
                <c:pt idx="0">
                  <c:v>Solar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Blad1!$B$11:$C$11</c15:sqref>
                  </c15:fullRef>
                </c:ext>
              </c:extLst>
              <c:f>Blad1!$C$11</c:f>
              <c:numCache>
                <c:formatCode>0</c:formatCode>
                <c:ptCount val="1"/>
                <c:pt idx="0">
                  <c:v>244.76666666666665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5-43F1-877B-F852F1BEEC96}"/>
            </c:ext>
          </c:extLst>
        </c:ser>
        <c:ser>
          <c:idx val="2"/>
          <c:order val="2"/>
          <c:tx>
            <c:strRef>
              <c:f>Blad1!$A$12</c:f>
              <c:strCache>
                <c:ptCount val="1"/>
                <c:pt idx="0">
                  <c:v>PrisTI_TL_75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Blad1!$B$9:$C$9</c15:sqref>
                  </c15:fullRef>
                </c:ext>
              </c:extLst>
              <c:f>Blad1!$C$9</c:f>
              <c:strCache>
                <c:ptCount val="1"/>
                <c:pt idx="0">
                  <c:v>Solar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Blad1!$B$12:$C$12</c15:sqref>
                  </c15:fullRef>
                </c:ext>
              </c:extLst>
              <c:f>Blad1!$C$12</c:f>
              <c:numCache>
                <c:formatCode>0</c:formatCode>
                <c:ptCount val="1"/>
                <c:pt idx="0">
                  <c:v>238.33333333333334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5-43F1-877B-F852F1BEEC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738191"/>
        <c:axId val="678748751"/>
      </c:barChart>
      <c:catAx>
        <c:axId val="67873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78748751"/>
        <c:crosses val="autoZero"/>
        <c:auto val="1"/>
        <c:lblAlgn val="ctr"/>
        <c:lblOffset val="100"/>
        <c:noMultiLvlLbl val="0"/>
      </c:catAx>
      <c:valAx>
        <c:axId val="678748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7873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566644794400695"/>
          <c:y val="0.15798556430446195"/>
          <c:w val="0.26477821522309708"/>
          <c:h val="0.198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473075</xdr:colOff>
      <xdr:row>19</xdr:row>
      <xdr:rowOff>28575</xdr:rowOff>
    </xdr:from>
    <xdr:to>
      <xdr:col>7</xdr:col>
      <xdr:colOff>492125</xdr:colOff>
      <xdr:row>33</xdr:row>
      <xdr:rowOff>142875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54241B3B-B2FA-2456-835A-1C76A338E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4ACA-D586-4EA0-852A-B27E8FA53553}">
  <dimension ref="A1:O50"/>
  <sheetViews>
    <sheetView tabSelected="1" topLeftCell="A6" workbookViewId="0">
      <selection activeCell="S15" sqref="S15"/>
    </sheetView>
  </sheetViews>
  <sheetFormatPr defaultRowHeight="14.5"/>
  <cols>
    <col min="1" max="1" width="12.26953125" customWidth="1"/>
    <col min="5" max="7" width="15.90625" bestFit="1" customWidth="1"/>
    <col min="11" max="11" width="26.6328125" customWidth="1"/>
    <col min="12" max="12" width="13.453125" bestFit="1" customWidth="1"/>
    <col min="15" max="15" width="10.1796875" bestFit="1" customWidth="1"/>
  </cols>
  <sheetData>
    <row r="1" spans="1:15">
      <c r="B1" s="2" t="s">
        <v>0</v>
      </c>
      <c r="C1" s="3"/>
      <c r="D1" s="4"/>
      <c r="E1" s="2" t="s">
        <v>7</v>
      </c>
      <c r="F1" s="3"/>
      <c r="G1" s="4"/>
    </row>
    <row r="2" spans="1:15" ht="15" thickBot="1">
      <c r="B2" s="7" t="s">
        <v>8</v>
      </c>
      <c r="C2" s="8"/>
      <c r="D2" s="9"/>
      <c r="E2" s="7" t="s">
        <v>8</v>
      </c>
      <c r="F2" s="8"/>
      <c r="G2" s="9"/>
      <c r="K2" t="s">
        <v>0</v>
      </c>
    </row>
    <row r="3" spans="1:15" ht="15" thickBot="1">
      <c r="B3" s="5" t="s">
        <v>4</v>
      </c>
      <c r="C3" t="s">
        <v>5</v>
      </c>
      <c r="D3" s="6" t="s">
        <v>6</v>
      </c>
      <c r="E3" s="5" t="s">
        <v>4</v>
      </c>
      <c r="F3" t="s">
        <v>5</v>
      </c>
      <c r="G3" s="6" t="s">
        <v>6</v>
      </c>
      <c r="K3" t="s">
        <v>9</v>
      </c>
    </row>
    <row r="4" spans="1:15">
      <c r="A4" s="10" t="s">
        <v>1</v>
      </c>
      <c r="B4" s="19">
        <f>K8</f>
        <v>22.67224050123173</v>
      </c>
      <c r="C4" s="22">
        <f t="shared" ref="C4:D4" si="0">L8</f>
        <v>11.644277778365066</v>
      </c>
      <c r="D4" s="23">
        <f t="shared" si="0"/>
        <v>3.79185153726945E-2</v>
      </c>
      <c r="E4" s="17" cm="1">
        <f t="array" ref="E4:G4">K33:M33</f>
        <v>2.2396598611174368E-2</v>
      </c>
      <c r="F4" s="24">
        <v>8.644912340803371E-3</v>
      </c>
      <c r="G4" s="25">
        <v>5.4601575198926396E-2</v>
      </c>
      <c r="J4" t="s">
        <v>10</v>
      </c>
      <c r="K4" t="s">
        <v>4</v>
      </c>
      <c r="L4" t="s">
        <v>5</v>
      </c>
      <c r="M4" t="s">
        <v>6</v>
      </c>
      <c r="N4" t="s">
        <v>11</v>
      </c>
    </row>
    <row r="5" spans="1:15">
      <c r="A5" s="11" t="s">
        <v>2</v>
      </c>
      <c r="B5" s="20">
        <f>K16</f>
        <v>22.392914034908333</v>
      </c>
      <c r="C5" s="19">
        <f t="shared" ref="C5:D5" si="1">L16</f>
        <v>11.819703548456033</v>
      </c>
      <c r="D5" s="17">
        <f t="shared" si="1"/>
        <v>3.85043945228844E-2</v>
      </c>
      <c r="E5" s="17" cm="1">
        <f t="array" ref="E5:G5">K41:M41</f>
        <v>2.2602096214712666E-2</v>
      </c>
      <c r="F5" s="24">
        <v>8.8162473362477633E-3</v>
      </c>
      <c r="G5" s="25">
        <v>5.5854441826803568E-2</v>
      </c>
      <c r="J5">
        <v>1</v>
      </c>
      <c r="K5">
        <v>21.784458957977101</v>
      </c>
      <c r="L5">
        <v>11.484772809363699</v>
      </c>
      <c r="M5">
        <v>3.7242296494935601E-2</v>
      </c>
      <c r="N5" s="1">
        <v>0.5907175925925926</v>
      </c>
      <c r="O5" s="13">
        <f t="shared" ref="O5:O7" si="2">ROUND(HOUR(N5)*60+MINUTE(N5)+SECOND(N5)/60, 1)</f>
        <v>850.6</v>
      </c>
    </row>
    <row r="6" spans="1:15" ht="15" thickBot="1">
      <c r="A6" s="12" t="s">
        <v>3</v>
      </c>
      <c r="B6" s="21">
        <f>K24</f>
        <v>22.587327563803836</v>
      </c>
      <c r="C6" s="21">
        <f t="shared" ref="C6:D6" si="3">L24</f>
        <v>12.1216855606769</v>
      </c>
      <c r="D6" s="18">
        <f t="shared" si="3"/>
        <v>3.9235444445359036E-2</v>
      </c>
      <c r="E6" s="18" cm="1">
        <f t="array" ref="E6:G6">K49:M49</f>
        <v>2.2735456397221004E-2</v>
      </c>
      <c r="F6" s="27">
        <v>9.0426205572839303E-3</v>
      </c>
      <c r="G6" s="26">
        <v>5.7464944688897325E-2</v>
      </c>
      <c r="J6">
        <v>2</v>
      </c>
      <c r="K6">
        <v>23.240038323388202</v>
      </c>
      <c r="L6">
        <v>11.827115312781901</v>
      </c>
      <c r="M6">
        <v>3.8718744328147398E-2</v>
      </c>
      <c r="N6" s="1">
        <v>0.58129629629629631</v>
      </c>
      <c r="O6" s="13">
        <f t="shared" si="2"/>
        <v>837.1</v>
      </c>
    </row>
    <row r="7" spans="1:15">
      <c r="J7">
        <v>3</v>
      </c>
      <c r="K7">
        <v>22.992224222329899</v>
      </c>
      <c r="L7">
        <v>11.6209452129496</v>
      </c>
      <c r="M7">
        <v>3.7794505295000502E-2</v>
      </c>
      <c r="N7" s="1">
        <v>0.57581018518518523</v>
      </c>
      <c r="O7" s="13">
        <f t="shared" si="2"/>
        <v>829.2</v>
      </c>
    </row>
    <row r="8" spans="1:15">
      <c r="B8" t="s">
        <v>17</v>
      </c>
      <c r="J8" t="s">
        <v>12</v>
      </c>
      <c r="K8">
        <f>AVERAGE(K5:K7)</f>
        <v>22.67224050123173</v>
      </c>
      <c r="L8">
        <f t="shared" ref="L8:M8" si="4">AVERAGE(L5:L7)</f>
        <v>11.644277778365066</v>
      </c>
      <c r="M8">
        <f t="shared" si="4"/>
        <v>3.79185153726945E-2</v>
      </c>
      <c r="O8">
        <f t="shared" ref="O8" si="5">AVERAGE(O5:O7)</f>
        <v>838.9666666666667</v>
      </c>
    </row>
    <row r="9" spans="1:15" ht="15" thickBot="1">
      <c r="B9" t="s">
        <v>0</v>
      </c>
      <c r="C9" t="s">
        <v>7</v>
      </c>
      <c r="J9" t="s">
        <v>15</v>
      </c>
      <c r="K9" s="14">
        <f>_xlfn.STDEV.P(K5:K7)</f>
        <v>0.6358563824106388</v>
      </c>
      <c r="L9" s="14">
        <f t="shared" ref="L9" si="6">_xlfn.STDEV.P(L5:L7)</f>
        <v>0.14073119499791234</v>
      </c>
      <c r="O9" s="13"/>
    </row>
    <row r="10" spans="1:15">
      <c r="A10" s="10" t="s">
        <v>1</v>
      </c>
      <c r="B10" s="15">
        <f>O8</f>
        <v>838.9666666666667</v>
      </c>
      <c r="C10" s="15">
        <f>O33</f>
        <v>268.10000000000002</v>
      </c>
      <c r="O10" s="13"/>
    </row>
    <row r="11" spans="1:15">
      <c r="A11" s="11" t="s">
        <v>2</v>
      </c>
      <c r="B11" s="15">
        <f>O16</f>
        <v>798.4</v>
      </c>
      <c r="C11" s="15">
        <f>O41</f>
        <v>244.76666666666665</v>
      </c>
      <c r="K11" t="s">
        <v>13</v>
      </c>
      <c r="O11" s="13"/>
    </row>
    <row r="12" spans="1:15" ht="15" thickBot="1">
      <c r="A12" s="12" t="s">
        <v>3</v>
      </c>
      <c r="B12" s="16">
        <f>O24</f>
        <v>788.4666666666667</v>
      </c>
      <c r="C12" s="15">
        <f>O49</f>
        <v>238.33333333333334</v>
      </c>
      <c r="J12" t="s">
        <v>10</v>
      </c>
      <c r="K12" t="s">
        <v>4</v>
      </c>
      <c r="L12" t="s">
        <v>5</v>
      </c>
      <c r="M12" t="s">
        <v>6</v>
      </c>
      <c r="N12" t="s">
        <v>11</v>
      </c>
      <c r="O12" s="13" t="s">
        <v>16</v>
      </c>
    </row>
    <row r="13" spans="1:15">
      <c r="J13">
        <v>1</v>
      </c>
      <c r="K13">
        <v>21.974231922560801</v>
      </c>
      <c r="L13">
        <v>11.79855769163</v>
      </c>
      <c r="M13">
        <v>3.8711805092660999E-2</v>
      </c>
      <c r="N13" s="1">
        <v>0.55057870370370365</v>
      </c>
      <c r="O13" s="13">
        <f>ROUND(HOUR(N13)*60+MINUTE(N13)+SECOND(N13)/60, 1)</f>
        <v>792.8</v>
      </c>
    </row>
    <row r="14" spans="1:15">
      <c r="J14">
        <v>2</v>
      </c>
      <c r="K14">
        <v>21.906707849659401</v>
      </c>
      <c r="L14">
        <v>11.8003951884585</v>
      </c>
      <c r="M14">
        <v>3.8626510845987401E-2</v>
      </c>
      <c r="N14" s="1">
        <v>0.55158564814814814</v>
      </c>
      <c r="O14" s="13">
        <f t="shared" ref="O14:O23" si="7">ROUND(HOUR(N14)*60+MINUTE(N14)+SECOND(N14)/60, 1)</f>
        <v>794.3</v>
      </c>
    </row>
    <row r="15" spans="1:15">
      <c r="J15">
        <v>3</v>
      </c>
      <c r="K15">
        <v>23.297802332504801</v>
      </c>
      <c r="L15">
        <v>11.860157765279601</v>
      </c>
      <c r="M15">
        <v>3.81748676300048E-2</v>
      </c>
      <c r="N15" s="1">
        <v>0.56115740740740738</v>
      </c>
      <c r="O15" s="13">
        <f t="shared" si="7"/>
        <v>808.1</v>
      </c>
    </row>
    <row r="16" spans="1:15">
      <c r="J16" t="s">
        <v>12</v>
      </c>
      <c r="K16">
        <f>AVERAGE(K13:K15)</f>
        <v>22.392914034908333</v>
      </c>
      <c r="L16">
        <f t="shared" ref="L16:M16" si="8">AVERAGE(L13:L15)</f>
        <v>11.819703548456033</v>
      </c>
      <c r="M16">
        <f t="shared" si="8"/>
        <v>3.85043945228844E-2</v>
      </c>
      <c r="O16">
        <f t="shared" ref="O16" si="9">AVERAGE(O13:O15)</f>
        <v>798.4</v>
      </c>
    </row>
    <row r="17" spans="10:15">
      <c r="J17" t="s">
        <v>15</v>
      </c>
      <c r="K17" s="14">
        <f>_xlfn.STDEV.P(K13:K15)</f>
        <v>0.64044619781866263</v>
      </c>
      <c r="L17" s="14">
        <f t="shared" ref="L17" si="10">_xlfn.STDEV.P(L13:L15)</f>
        <v>2.8615285457890185E-2</v>
      </c>
      <c r="O17" s="13"/>
    </row>
    <row r="18" spans="10:15">
      <c r="O18" s="13"/>
    </row>
    <row r="19" spans="10:15">
      <c r="K19" t="s">
        <v>14</v>
      </c>
      <c r="O19" s="13"/>
    </row>
    <row r="20" spans="10:15">
      <c r="J20" t="s">
        <v>10</v>
      </c>
      <c r="K20" t="s">
        <v>4</v>
      </c>
      <c r="L20" t="s">
        <v>5</v>
      </c>
      <c r="M20" t="s">
        <v>6</v>
      </c>
      <c r="N20" t="s">
        <v>11</v>
      </c>
      <c r="O20" s="13" t="s">
        <v>16</v>
      </c>
    </row>
    <row r="21" spans="10:15">
      <c r="J21">
        <v>1</v>
      </c>
      <c r="K21">
        <v>22.781195928036599</v>
      </c>
      <c r="L21">
        <v>12.1599585412437</v>
      </c>
      <c r="M21">
        <v>3.90077452910573E-2</v>
      </c>
      <c r="N21" s="1">
        <v>0.55539351851851848</v>
      </c>
      <c r="O21" s="13">
        <f t="shared" si="7"/>
        <v>799.8</v>
      </c>
    </row>
    <row r="22" spans="10:15">
      <c r="J22">
        <v>2</v>
      </c>
      <c r="K22">
        <v>22.5153826986244</v>
      </c>
      <c r="L22">
        <v>12.034622933229</v>
      </c>
      <c r="M22">
        <v>3.9053653415880699E-2</v>
      </c>
      <c r="N22" s="1">
        <v>0.54552083333333334</v>
      </c>
      <c r="O22" s="13">
        <f t="shared" si="7"/>
        <v>785.6</v>
      </c>
    </row>
    <row r="23" spans="10:15">
      <c r="J23">
        <v>3</v>
      </c>
      <c r="K23">
        <v>22.465404064750501</v>
      </c>
      <c r="L23">
        <v>12.170475207558001</v>
      </c>
      <c r="M23">
        <v>3.9644934629139102E-2</v>
      </c>
      <c r="N23" s="1">
        <v>0.54167824074074078</v>
      </c>
      <c r="O23" s="13">
        <f t="shared" si="7"/>
        <v>780</v>
      </c>
    </row>
    <row r="24" spans="10:15">
      <c r="J24" t="s">
        <v>12</v>
      </c>
      <c r="K24">
        <f>AVERAGE(K21:K23)</f>
        <v>22.587327563803836</v>
      </c>
      <c r="L24">
        <f t="shared" ref="L24:M24" si="11">AVERAGE(L21:L23)</f>
        <v>12.1216855606769</v>
      </c>
      <c r="M24">
        <f t="shared" si="11"/>
        <v>3.9235444445359036E-2</v>
      </c>
      <c r="O24">
        <f t="shared" ref="O24" si="12">AVERAGE(O21:O23)</f>
        <v>788.4666666666667</v>
      </c>
    </row>
    <row r="25" spans="10:15">
      <c r="J25" t="s">
        <v>15</v>
      </c>
      <c r="K25" s="14">
        <f>_xlfn.STDEV.P(K21:K23)</f>
        <v>0.13859575017219802</v>
      </c>
      <c r="L25" s="14">
        <f t="shared" ref="L25" si="13">_xlfn.STDEV.P(L21:L23)</f>
        <v>6.1712105193878326E-2</v>
      </c>
    </row>
    <row r="27" spans="10:15">
      <c r="K27" t="s">
        <v>7</v>
      </c>
    </row>
    <row r="28" spans="10:15">
      <c r="K28" t="s">
        <v>9</v>
      </c>
    </row>
    <row r="29" spans="10:15">
      <c r="J29" t="s">
        <v>10</v>
      </c>
      <c r="K29" t="s">
        <v>4</v>
      </c>
      <c r="L29" t="s">
        <v>5</v>
      </c>
      <c r="M29" t="s">
        <v>6</v>
      </c>
      <c r="N29" t="s">
        <v>11</v>
      </c>
    </row>
    <row r="30" spans="10:15">
      <c r="J30">
        <v>1</v>
      </c>
      <c r="K30">
        <v>2.2475759705318302E-2</v>
      </c>
      <c r="L30">
        <v>8.6599823358664407E-3</v>
      </c>
      <c r="M30">
        <v>5.4653506529958602E-2</v>
      </c>
      <c r="N30" s="1">
        <v>0.18756944444444446</v>
      </c>
      <c r="O30" s="13">
        <f t="shared" ref="O30:O32" si="14">ROUND(HOUR(N30)*60+MINUTE(N30)+SECOND(N30)/60, 1)</f>
        <v>270.10000000000002</v>
      </c>
    </row>
    <row r="31" spans="10:15">
      <c r="J31">
        <v>2</v>
      </c>
      <c r="K31">
        <v>2.2283474377877002E-2</v>
      </c>
      <c r="L31">
        <v>8.5883345486678295E-3</v>
      </c>
      <c r="M31">
        <v>5.4279421505175098E-2</v>
      </c>
      <c r="N31" s="1">
        <v>0.18479166666666666</v>
      </c>
      <c r="O31" s="13">
        <f t="shared" si="14"/>
        <v>266.10000000000002</v>
      </c>
    </row>
    <row r="32" spans="10:15">
      <c r="J32">
        <v>3</v>
      </c>
      <c r="K32">
        <v>2.2430561750327802E-2</v>
      </c>
      <c r="L32">
        <v>8.6864201378758395E-3</v>
      </c>
      <c r="M32">
        <v>5.4871797561645501E-2</v>
      </c>
      <c r="N32" s="1">
        <v>0.1862037037037037</v>
      </c>
      <c r="O32" s="13">
        <f t="shared" si="14"/>
        <v>268.10000000000002</v>
      </c>
    </row>
    <row r="33" spans="10:15">
      <c r="J33" t="s">
        <v>12</v>
      </c>
      <c r="K33">
        <f>AVERAGE(K30:K32)</f>
        <v>2.2396598611174368E-2</v>
      </c>
      <c r="L33">
        <f t="shared" ref="L33" si="15">AVERAGE(L30:L32)</f>
        <v>8.644912340803371E-3</v>
      </c>
      <c r="M33">
        <f t="shared" ref="M33" si="16">AVERAGE(M30:M32)</f>
        <v>5.4601575198926396E-2</v>
      </c>
      <c r="O33">
        <f t="shared" ref="O33" si="17">AVERAGE(O30:O32)</f>
        <v>268.10000000000002</v>
      </c>
    </row>
    <row r="34" spans="10:15">
      <c r="J34" t="s">
        <v>15</v>
      </c>
      <c r="K34" s="29">
        <f>_xlfn.STDEV.P(K30:K32)</f>
        <v>8.2091546065631742E-5</v>
      </c>
      <c r="L34" s="29">
        <f t="shared" ref="L34" si="18">_xlfn.STDEV.P(L30:L32)</f>
        <v>4.1436893914894697E-5</v>
      </c>
      <c r="O34" s="13"/>
    </row>
    <row r="35" spans="10:15">
      <c r="O35" s="13"/>
    </row>
    <row r="36" spans="10:15">
      <c r="K36" t="s">
        <v>13</v>
      </c>
      <c r="O36" s="13"/>
    </row>
    <row r="37" spans="10:15">
      <c r="J37" t="s">
        <v>10</v>
      </c>
      <c r="K37" t="s">
        <v>4</v>
      </c>
      <c r="L37" t="s">
        <v>5</v>
      </c>
      <c r="M37" t="s">
        <v>6</v>
      </c>
      <c r="N37" t="s">
        <v>11</v>
      </c>
      <c r="O37" s="13" t="s">
        <v>16</v>
      </c>
    </row>
    <row r="38" spans="10:15">
      <c r="J38">
        <v>1</v>
      </c>
      <c r="K38">
        <v>2.2712142791539401E-2</v>
      </c>
      <c r="L38">
        <v>8.8618956606028709E-3</v>
      </c>
      <c r="M38">
        <v>5.6089250664961898E-2</v>
      </c>
      <c r="N38" s="1">
        <v>0.17125000000000001</v>
      </c>
      <c r="O38" s="13">
        <f>ROUND(HOUR(N38)*60+MINUTE(N38)+SECOND(N38)/60, 1)</f>
        <v>246.6</v>
      </c>
    </row>
    <row r="39" spans="10:15">
      <c r="J39">
        <v>2</v>
      </c>
      <c r="K39">
        <v>2.25312211005083E-2</v>
      </c>
      <c r="L39">
        <v>8.7939539122877507E-3</v>
      </c>
      <c r="M39">
        <v>5.5805476088272798E-2</v>
      </c>
      <c r="N39" s="1">
        <v>0.16966435185185186</v>
      </c>
      <c r="O39" s="13">
        <f t="shared" ref="O39:O48" si="19">ROUND(HOUR(N39)*60+MINUTE(N39)+SECOND(N39)/60, 1)</f>
        <v>244.3</v>
      </c>
    </row>
    <row r="40" spans="10:15">
      <c r="J40">
        <v>3</v>
      </c>
      <c r="K40">
        <v>2.2562924752090301E-2</v>
      </c>
      <c r="L40">
        <v>8.79289243585267E-3</v>
      </c>
      <c r="M40">
        <v>5.5668598727176E-2</v>
      </c>
      <c r="N40" s="1">
        <v>0.16901620370370371</v>
      </c>
      <c r="O40" s="13">
        <f t="shared" si="19"/>
        <v>243.4</v>
      </c>
    </row>
    <row r="41" spans="10:15">
      <c r="J41" t="s">
        <v>12</v>
      </c>
      <c r="K41">
        <f>AVERAGE(K38:K40)</f>
        <v>2.2602096214712666E-2</v>
      </c>
      <c r="L41">
        <f t="shared" ref="L41" si="20">AVERAGE(L38:L40)</f>
        <v>8.8162473362477633E-3</v>
      </c>
      <c r="M41">
        <f t="shared" ref="M41" si="21">AVERAGE(M38:M40)</f>
        <v>5.5854441826803568E-2</v>
      </c>
      <c r="O41">
        <f t="shared" ref="O41" si="22">AVERAGE(O38:O40)</f>
        <v>244.76666666666665</v>
      </c>
    </row>
    <row r="42" spans="10:15">
      <c r="J42" t="s">
        <v>15</v>
      </c>
      <c r="K42" s="28">
        <f>_xlfn.STDEV.P(K38:K40)</f>
        <v>7.8883742238688884E-5</v>
      </c>
      <c r="L42" s="28">
        <f t="shared" ref="L42" si="23">_xlfn.STDEV.P(L38:L40)</f>
        <v>3.228114847582459E-5</v>
      </c>
      <c r="O42" s="13"/>
    </row>
    <row r="43" spans="10:15">
      <c r="O43" s="13"/>
    </row>
    <row r="44" spans="10:15">
      <c r="K44" t="s">
        <v>14</v>
      </c>
      <c r="O44" s="13"/>
    </row>
    <row r="45" spans="10:15">
      <c r="J45" t="s">
        <v>10</v>
      </c>
      <c r="K45" t="s">
        <v>4</v>
      </c>
      <c r="L45" t="s">
        <v>5</v>
      </c>
      <c r="M45" t="s">
        <v>6</v>
      </c>
      <c r="N45" t="s">
        <v>11</v>
      </c>
      <c r="O45" s="13" t="s">
        <v>16</v>
      </c>
    </row>
    <row r="46" spans="10:15">
      <c r="J46">
        <v>1</v>
      </c>
      <c r="K46">
        <v>2.2699410841830001E-2</v>
      </c>
      <c r="L46">
        <v>9.0513841961316604E-3</v>
      </c>
      <c r="M46">
        <v>5.7613642592179097E-2</v>
      </c>
      <c r="N46" s="1">
        <v>0.1670949074074074</v>
      </c>
      <c r="O46" s="13">
        <f t="shared" si="19"/>
        <v>240.6</v>
      </c>
    </row>
    <row r="47" spans="10:15">
      <c r="J47">
        <v>2</v>
      </c>
      <c r="K47">
        <v>2.2866746663219299E-2</v>
      </c>
      <c r="L47">
        <v>9.0679472486032905E-3</v>
      </c>
      <c r="M47">
        <v>5.7543955351176998E-2</v>
      </c>
      <c r="N47" s="1">
        <v>0.16583333333333333</v>
      </c>
      <c r="O47" s="13">
        <f t="shared" si="19"/>
        <v>238.8</v>
      </c>
    </row>
    <row r="48" spans="10:15">
      <c r="J48">
        <v>3</v>
      </c>
      <c r="K48">
        <v>2.26402116866137E-2</v>
      </c>
      <c r="L48">
        <v>9.0085302271168399E-3</v>
      </c>
      <c r="M48">
        <v>5.7237236123335901E-2</v>
      </c>
      <c r="N48" s="1">
        <v>0.16359953703703703</v>
      </c>
      <c r="O48" s="13">
        <f t="shared" si="19"/>
        <v>235.6</v>
      </c>
    </row>
    <row r="49" spans="10:15">
      <c r="J49" t="s">
        <v>12</v>
      </c>
      <c r="K49">
        <f>AVERAGE(K46:K48)</f>
        <v>2.2735456397221004E-2</v>
      </c>
      <c r="L49">
        <f t="shared" ref="L49:M49" si="24">AVERAGE(L46:L48)</f>
        <v>9.0426205572839303E-3</v>
      </c>
      <c r="M49">
        <f t="shared" si="24"/>
        <v>5.7464944688897325E-2</v>
      </c>
      <c r="O49">
        <f t="shared" ref="O49" si="25">AVERAGE(O46:O48)</f>
        <v>238.33333333333334</v>
      </c>
    </row>
    <row r="50" spans="10:15">
      <c r="J50" t="s">
        <v>15</v>
      </c>
      <c r="K50" s="28">
        <f>_xlfn.STDEV.P(K46:K48)</f>
        <v>9.5930479876519596E-5</v>
      </c>
      <c r="L50" s="28">
        <f>_xlfn.STDEV.P(L46:L48)</f>
        <v>2.5035929314625897E-5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Combé</dc:creator>
  <cp:lastModifiedBy>Martijn Combé</cp:lastModifiedBy>
  <dcterms:created xsi:type="dcterms:W3CDTF">2026-01-07T11:46:07Z</dcterms:created>
  <dcterms:modified xsi:type="dcterms:W3CDTF">2026-01-08T09:44:48Z</dcterms:modified>
</cp:coreProperties>
</file>